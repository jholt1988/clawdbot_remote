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Monthly Budget" sheetId="2" state="visible" r:id="rId2"/>
    <sheet xmlns:r="http://schemas.openxmlformats.org/officeDocument/2006/relationships" name="Actual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sz val="14"/>
    </font>
    <font>
      <b val="1"/>
    </font>
    <font/>
  </fonts>
  <fills count="3">
    <fill>
      <patternFill/>
    </fill>
    <fill>
      <patternFill patternType="gray125"/>
    </fill>
    <fill>
      <patternFill patternType="solid">
        <fgColor rgb="FFEFEFEF"/>
        <bgColor rgb="FFEFEFEF"/>
      </patternFill>
    </fill>
  </fills>
  <borders count="3">
    <border>
      <left/>
      <right/>
      <top/>
      <bottom/>
      <diagonal/>
    </border>
    <border/>
    <border>
      <left style="thin">
        <color rgb="FFBFBFBF"/>
      </left>
      <right style="thin">
        <color rgb="FFBFBFBF"/>
      </right>
      <top style="thin">
        <color rgb="FFBFBFBF"/>
      </top>
      <bottom style="thin">
        <color rgb="FFBFBFBF"/>
      </bottom>
    </border>
  </borders>
  <cellStyleXfs count="2">
    <xf numFmtId="0" fontId="0" fillId="0" borderId="0"/>
    <xf numFmtId="164" fontId="3" fillId="0" borderId="1"/>
  </cellStyleXfs>
  <cellXfs count="10">
    <xf numFmtId="0" fontId="0" fillId="0" borderId="0" pivotButton="0" quotePrefix="0" xfId="0"/>
    <xf numFmtId="0" fontId="1" fillId="0" borderId="0" pivotButton="0" quotePrefix="0" xfId="0"/>
    <xf numFmtId="0" fontId="2" fillId="0" borderId="0" pivotButton="0" quotePrefix="0" xfId="0"/>
    <xf numFmtId="164" fontId="3" fillId="0" borderId="1" pivotButton="0" quotePrefix="0" xfId="1"/>
    <xf numFmtId="0" fontId="2" fillId="0" borderId="2" pivotButton="0" quotePrefix="0" xfId="0"/>
    <xf numFmtId="0" fontId="2" fillId="2" borderId="2" pivotButton="0" quotePrefix="0" xfId="0"/>
    <xf numFmtId="0" fontId="0" fillId="0" borderId="2" pivotButton="0" quotePrefix="0" xfId="0"/>
    <xf numFmtId="164" fontId="3" fillId="0" borderId="2" pivotButton="0" quotePrefix="0" xfId="1"/>
    <xf numFmtId="0" fontId="2" fillId="2" borderId="2" applyAlignment="1" pivotButton="0" quotePrefix="0" xfId="0">
      <alignment horizontal="center"/>
    </xf>
    <xf numFmtId="164" fontId="0" fillId="0" borderId="0" pivotButton="0" quotePrefix="0" xfId="0"/>
  </cellXfs>
  <cellStyles count="2">
    <cellStyle name="Normal" xfId="0" builtinId="0" hidden="0"/>
    <cellStyle name="money"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9" customWidth="1" min="2" max="2"/>
    <col width="2" customWidth="1" min="3" max="3"/>
    <col width="38" customWidth="1" min="4" max="4"/>
    <col width="5" customWidth="1" min="5" max="5"/>
    <col width="2" customWidth="1" min="6" max="6"/>
  </cols>
  <sheetData>
    <row r="1">
      <c r="A1" s="1" t="inlineStr">
        <is>
          <t>Budgeting Inputs</t>
        </is>
      </c>
    </row>
    <row r="2"/>
    <row r="3">
      <c r="A3" s="2" t="inlineStr">
        <is>
          <t>Assumptions</t>
        </is>
      </c>
    </row>
    <row r="4"/>
    <row r="5">
      <c r="A5" s="2" t="inlineStr">
        <is>
          <t>Target Month (yyyy-mm)</t>
        </is>
      </c>
      <c r="B5" t="inlineStr">
        <is>
          <t>2025-10</t>
        </is>
      </c>
    </row>
    <row r="6">
      <c r="A6" s="2" t="inlineStr">
        <is>
          <t>IRS Mileage Rate ($/mile)</t>
        </is>
      </c>
      <c r="B6" t="n">
        <v>0.67</v>
      </c>
    </row>
    <row r="7">
      <c r="A7" s="2" t="inlineStr">
        <is>
          <t>Avg Gas Price ($/gal)</t>
        </is>
      </c>
      <c r="B7" t="n">
        <v>3.45</v>
      </c>
    </row>
    <row r="8">
      <c r="A8" s="2" t="inlineStr">
        <is>
          <t>Vehicle MPG</t>
        </is>
      </c>
      <c r="B8" t="n">
        <v>28</v>
      </c>
    </row>
    <row r="9">
      <c r="A9" s="2" t="inlineStr">
        <is>
          <t>Maintenance Reserve ($/mile)</t>
        </is>
      </c>
      <c r="B9" t="n">
        <v>0.08</v>
      </c>
    </row>
    <row r="10"/>
    <row r="11">
      <c r="A11" s="2" t="inlineStr">
        <is>
          <t>Monthly Income Targets</t>
        </is>
      </c>
      <c r="D11" s="2" t="inlineStr">
        <is>
          <t>Monthly Fixed Bills (Personal)</t>
        </is>
      </c>
    </row>
    <row r="12">
      <c r="A12" t="inlineStr">
        <is>
          <t>DoorDash</t>
        </is>
      </c>
      <c r="B12" s="3" t="n">
        <v>1200</v>
      </c>
      <c r="D12" t="inlineStr">
        <is>
          <t>Rent/Mortgage (Personal)</t>
        </is>
      </c>
      <c r="E12" s="3" t="n">
        <v>900</v>
      </c>
    </row>
    <row r="13">
      <c r="A13" t="inlineStr">
        <is>
          <t>UberEats</t>
        </is>
      </c>
      <c r="B13" s="3" t="n">
        <v>900</v>
      </c>
      <c r="D13" t="inlineStr">
        <is>
          <t>Utilities (Elec/Gas/Water)</t>
        </is>
      </c>
      <c r="E13" s="3" t="n">
        <v>220</v>
      </c>
    </row>
    <row r="14">
      <c r="A14" t="inlineStr">
        <is>
          <t>Spark</t>
        </is>
      </c>
      <c r="B14" s="3" t="n">
        <v>1100</v>
      </c>
      <c r="D14" t="inlineStr">
        <is>
          <t>Internet/Phone</t>
        </is>
      </c>
      <c r="E14" s="3" t="n">
        <v>120</v>
      </c>
    </row>
    <row r="15">
      <c r="A15" t="inlineStr">
        <is>
          <t>Roadie</t>
        </is>
      </c>
      <c r="B15" s="3" t="n">
        <v>400</v>
      </c>
      <c r="D15" t="inlineStr">
        <is>
          <t>Auto Insurance</t>
        </is>
      </c>
      <c r="E15" s="3" t="n">
        <v>110</v>
      </c>
    </row>
    <row r="16">
      <c r="A16" t="inlineStr">
        <is>
          <t>Other Personal Income</t>
        </is>
      </c>
      <c r="B16" s="3" t="n">
        <v>300</v>
      </c>
      <c r="D16" t="inlineStr">
        <is>
          <t>Subscriptions (Spotify/Netflix/etc.)</t>
        </is>
      </c>
      <c r="E16" s="3" t="n">
        <v>30</v>
      </c>
    </row>
    <row r="17">
      <c r="A17" t="inlineStr">
        <is>
          <t>Rental Net (after mortgage)</t>
        </is>
      </c>
      <c r="B17" s="3" t="n">
        <v>800</v>
      </c>
      <c r="D17" t="inlineStr">
        <is>
          <t>Groceries (Base)</t>
        </is>
      </c>
      <c r="E17" s="3" t="n">
        <v>350</v>
      </c>
    </row>
    <row r="18">
      <c r="D18" t="inlineStr">
        <is>
          <t>Fuel (Base)</t>
        </is>
      </c>
      <c r="E18" s="3" t="n">
        <v>220</v>
      </c>
    </row>
    <row r="19">
      <c r="D19" t="inlineStr">
        <is>
          <t>Debt Payments</t>
        </is>
      </c>
      <c r="E19" s="3" t="n">
        <v>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9" customWidth="1" min="1" max="1"/>
    <col width="28" customWidth="1" min="2" max="2"/>
  </cols>
  <sheetData>
    <row r="1">
      <c r="A1" s="1" t="inlineStr">
        <is>
          <t>Monthly Budget — Plan</t>
        </is>
      </c>
    </row>
    <row r="2">
      <c r="A2" t="inlineStr">
        <is>
          <t>Month</t>
        </is>
      </c>
      <c r="B2">
        <f>Inputs!B5</f>
        <v/>
      </c>
    </row>
    <row r="3"/>
    <row r="4">
      <c r="A4" s="4" t="inlineStr">
        <is>
          <t>Planned Income</t>
        </is>
      </c>
    </row>
    <row r="5">
      <c r="A5" s="5" t="inlineStr">
        <is>
          <t>Category</t>
        </is>
      </c>
      <c r="B5" s="5" t="inlineStr">
        <is>
          <t>Planned</t>
        </is>
      </c>
    </row>
    <row r="6">
      <c r="A6" s="6" t="inlineStr">
        <is>
          <t>DoorDash</t>
        </is>
      </c>
      <c r="B6" s="7">
        <f>Inputs!B12</f>
        <v/>
      </c>
    </row>
    <row r="7">
      <c r="A7" s="6" t="inlineStr">
        <is>
          <t>UberEats</t>
        </is>
      </c>
      <c r="B7" s="7">
        <f>Inputs!B13</f>
        <v/>
      </c>
    </row>
    <row r="8">
      <c r="A8" s="6" t="inlineStr">
        <is>
          <t>Spark</t>
        </is>
      </c>
      <c r="B8" s="7">
        <f>Inputs!B14</f>
        <v/>
      </c>
    </row>
    <row r="9">
      <c r="A9" s="6" t="inlineStr">
        <is>
          <t>Roadie</t>
        </is>
      </c>
      <c r="B9" s="7">
        <f>Inputs!B15</f>
        <v/>
      </c>
    </row>
    <row r="10">
      <c r="A10" s="6" t="inlineStr">
        <is>
          <t>Other Personal Income</t>
        </is>
      </c>
      <c r="B10" s="7">
        <f>Inputs!B16</f>
        <v/>
      </c>
    </row>
    <row r="11">
      <c r="A11" s="6" t="inlineStr">
        <is>
          <t>Rental Net (after mortgage)</t>
        </is>
      </c>
      <c r="B11" s="7">
        <f>Inputs!B17</f>
        <v/>
      </c>
    </row>
    <row r="12">
      <c r="A12" s="4" t="inlineStr">
        <is>
          <t>Total Income</t>
        </is>
      </c>
      <c r="B12" s="7">
        <f>SUM(B6:B11)</f>
        <v/>
      </c>
    </row>
    <row r="13"/>
    <row r="14">
      <c r="A14" s="4" t="inlineStr">
        <is>
          <t>Planned Expenses</t>
        </is>
      </c>
    </row>
    <row r="15">
      <c r="A15" s="5" t="inlineStr">
        <is>
          <t>Category</t>
        </is>
      </c>
      <c r="B15" s="5" t="inlineStr">
        <is>
          <t>Planned</t>
        </is>
      </c>
    </row>
    <row r="16">
      <c r="A16" s="6" t="inlineStr">
        <is>
          <t>Rent/Mortgage (Personal)</t>
        </is>
      </c>
      <c r="B16" s="7">
        <f>Inputs!E12</f>
        <v/>
      </c>
    </row>
    <row r="17">
      <c r="A17" s="6" t="inlineStr">
        <is>
          <t>Utilities</t>
        </is>
      </c>
      <c r="B17" s="7">
        <f>Inputs!E13</f>
        <v/>
      </c>
    </row>
    <row r="18">
      <c r="A18" s="6" t="inlineStr">
        <is>
          <t>Internet/Phone</t>
        </is>
      </c>
      <c r="B18" s="7">
        <f>Inputs!E14</f>
        <v/>
      </c>
    </row>
    <row r="19">
      <c r="A19" s="6" t="inlineStr">
        <is>
          <t>Auto Insurance</t>
        </is>
      </c>
      <c r="B19" s="7">
        <f>Inputs!E15</f>
        <v/>
      </c>
    </row>
    <row r="20">
      <c r="A20" s="6" t="inlineStr">
        <is>
          <t>Subscriptions</t>
        </is>
      </c>
      <c r="B20" s="7">
        <f>Inputs!E16</f>
        <v/>
      </c>
    </row>
    <row r="21">
      <c r="A21" s="6" t="inlineStr">
        <is>
          <t>Groceries</t>
        </is>
      </c>
      <c r="B21" s="7">
        <f>Inputs!E17</f>
        <v/>
      </c>
    </row>
    <row r="22">
      <c r="A22" s="6" t="inlineStr">
        <is>
          <t>Fuel</t>
        </is>
      </c>
      <c r="B22" s="7">
        <f>Inputs!E18</f>
        <v/>
      </c>
    </row>
    <row r="23">
      <c r="A23" s="6" t="inlineStr">
        <is>
          <t>Debt Payments</t>
        </is>
      </c>
      <c r="B23" s="7">
        <f>Inputs!E19</f>
        <v/>
      </c>
    </row>
    <row r="24">
      <c r="A24" s="6" t="inlineStr">
        <is>
          <t>Car Maintenance Reserve</t>
        </is>
      </c>
      <c r="B24" s="7">
        <f>(Inputs!B9*Inputs!B8)*100</f>
        <v/>
      </c>
    </row>
    <row r="25">
      <c r="A25" s="6" t="inlineStr">
        <is>
          <t>Tolls/Parking</t>
        </is>
      </c>
      <c r="B25" s="7" t="n">
        <v>40</v>
      </c>
    </row>
    <row r="26">
      <c r="A26" s="6" t="inlineStr">
        <is>
          <t>Supplies (Bags/Straps/Tape)</t>
        </is>
      </c>
      <c r="B26" s="7" t="n">
        <v>25</v>
      </c>
    </row>
    <row r="27">
      <c r="A27" s="6" t="inlineStr">
        <is>
          <t>Apps/Tools (Pro)</t>
        </is>
      </c>
      <c r="B27" s="7" t="n">
        <v>25</v>
      </c>
    </row>
    <row r="28">
      <c r="A28" s="6" t="inlineStr">
        <is>
          <t>Marketing/Promo</t>
        </is>
      </c>
      <c r="B28" s="7" t="n">
        <v>30</v>
      </c>
    </row>
    <row r="29">
      <c r="A29" s="6" t="inlineStr">
        <is>
          <t>Repairs Reserve (Rental)</t>
        </is>
      </c>
      <c r="B29" s="7" t="n">
        <v>150</v>
      </c>
    </row>
    <row r="30">
      <c r="A30" s="6" t="inlineStr">
        <is>
          <t>Landscaping/Trash (Rental)</t>
        </is>
      </c>
      <c r="B30" s="7" t="n">
        <v>60</v>
      </c>
    </row>
    <row r="31">
      <c r="A31" s="6" t="inlineStr">
        <is>
          <t>Vacancy Reserve (Rental)</t>
        </is>
      </c>
      <c r="B31" s="7" t="n">
        <v>100</v>
      </c>
    </row>
    <row r="32">
      <c r="A32" s="6" t="inlineStr">
        <is>
          <t>Emergency Fund</t>
        </is>
      </c>
      <c r="B32" s="7" t="n">
        <v>150</v>
      </c>
    </row>
    <row r="33">
      <c r="A33" s="6" t="inlineStr">
        <is>
          <t>Vehicle Replacement Fund</t>
        </is>
      </c>
      <c r="B33" s="7" t="n">
        <v>150</v>
      </c>
    </row>
    <row r="34">
      <c r="A34" s="6" t="inlineStr">
        <is>
          <t>Investments</t>
        </is>
      </c>
      <c r="B34" s="7" t="n">
        <v>75</v>
      </c>
    </row>
    <row r="35">
      <c r="A35" s="4" t="inlineStr">
        <is>
          <t>Total Expenses</t>
        </is>
      </c>
      <c r="B35" s="7">
        <f>SUM(B15:B34)</f>
        <v/>
      </c>
    </row>
    <row r="36">
      <c r="A36" s="4" t="inlineStr">
        <is>
          <t>Planned Net</t>
        </is>
      </c>
      <c r="B36" s="7">
        <f>B12-B35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cols>
    <col width="24" customWidth="1" min="1" max="1"/>
    <col width="13" customWidth="1" min="2" max="2"/>
    <col width="6" customWidth="1" min="3" max="3"/>
    <col width="10" customWidth="1" min="4" max="4"/>
    <col width="10" customWidth="1" min="5" max="5"/>
    <col width="8" customWidth="1" min="6" max="6"/>
    <col width="7" customWidth="1" min="7" max="7"/>
    <col width="7" customWidth="1" min="8" max="8"/>
    <col width="23" customWidth="1" min="9" max="9"/>
  </cols>
  <sheetData>
    <row r="1">
      <c r="A1" s="1" t="inlineStr">
        <is>
          <t>Transactions (Actuals)</t>
        </is>
      </c>
    </row>
    <row r="2"/>
    <row r="3">
      <c r="A3" s="8" t="inlineStr">
        <is>
          <t>Date</t>
        </is>
      </c>
      <c r="B3" s="8" t="inlineStr">
        <is>
          <t>Description</t>
        </is>
      </c>
      <c r="C3" s="8" t="inlineStr">
        <is>
          <t>Type</t>
        </is>
      </c>
      <c r="D3" s="8" t="inlineStr">
        <is>
          <t>Platform</t>
        </is>
      </c>
      <c r="E3" s="8" t="inlineStr">
        <is>
          <t>Category</t>
        </is>
      </c>
      <c r="F3" s="8" t="inlineStr">
        <is>
          <t>Amount</t>
        </is>
      </c>
      <c r="G3" s="8" t="inlineStr">
        <is>
          <t>Miles</t>
        </is>
      </c>
      <c r="H3" s="8" t="inlineStr">
        <is>
          <t>Notes</t>
        </is>
      </c>
      <c r="I3" s="8" t="inlineStr">
        <is>
          <t>Month</t>
        </is>
      </c>
    </row>
    <row r="4">
      <c r="F4" s="9" t="n"/>
      <c r="I4" s="6">
        <f>TEXT(A4,"yyyy-mm")</f>
        <v/>
      </c>
    </row>
    <row r="5">
      <c r="F5" s="9" t="n"/>
      <c r="I5" s="6">
        <f>TEXT(A5,"yyyy-mm")</f>
        <v/>
      </c>
    </row>
    <row r="6">
      <c r="F6" s="9" t="n"/>
      <c r="I6" s="6">
        <f>TEXT(A6,"yyyy-mm")</f>
        <v/>
      </c>
    </row>
    <row r="7">
      <c r="F7" s="9" t="n"/>
      <c r="I7" s="6">
        <f>TEXT(A7,"yyyy-mm")</f>
        <v/>
      </c>
    </row>
    <row r="8">
      <c r="F8" s="9" t="n"/>
      <c r="I8" s="6">
        <f>TEXT(A8,"yyyy-mm")</f>
        <v/>
      </c>
    </row>
    <row r="9">
      <c r="F9" s="9" t="n"/>
      <c r="I9" s="6">
        <f>TEXT(A9,"yyyy-mm")</f>
        <v/>
      </c>
    </row>
    <row r="10">
      <c r="F10" s="9" t="n"/>
      <c r="I10" s="6">
        <f>TEXT(A10,"yyyy-mm")</f>
        <v/>
      </c>
    </row>
    <row r="11">
      <c r="F11" s="9" t="n"/>
      <c r="I11" s="6">
        <f>TEXT(A11,"yyyy-mm")</f>
        <v/>
      </c>
    </row>
    <row r="12">
      <c r="F12" s="9" t="n"/>
      <c r="I12" s="6">
        <f>TEXT(A12,"yyyy-mm")</f>
        <v/>
      </c>
    </row>
    <row r="13">
      <c r="F13" s="9" t="n"/>
      <c r="I13" s="6">
        <f>TEXT(A13,"yyyy-mm")</f>
        <v/>
      </c>
    </row>
    <row r="14">
      <c r="F14" s="9" t="n"/>
      <c r="I14" s="6">
        <f>TEXT(A14,"yyyy-mm")</f>
        <v/>
      </c>
    </row>
    <row r="15">
      <c r="F15" s="9" t="n"/>
      <c r="I15" s="6">
        <f>TEXT(A15,"yyyy-mm")</f>
        <v/>
      </c>
    </row>
    <row r="16">
      <c r="F16" s="9" t="n"/>
      <c r="I16" s="6">
        <f>TEXT(A16,"yyyy-mm")</f>
        <v/>
      </c>
    </row>
    <row r="17">
      <c r="F17" s="9" t="n"/>
      <c r="I17" s="6">
        <f>TEXT(A17,"yyyy-mm")</f>
        <v/>
      </c>
    </row>
    <row r="18">
      <c r="F18" s="9" t="n"/>
      <c r="I18" s="6">
        <f>TEXT(A18,"yyyy-mm")</f>
        <v/>
      </c>
    </row>
    <row r="19">
      <c r="F19" s="9" t="n"/>
      <c r="I19" s="6">
        <f>TEXT(A19,"yyyy-mm")</f>
        <v/>
      </c>
    </row>
    <row r="20">
      <c r="F20" s="9" t="n"/>
      <c r="I20" s="6">
        <f>TEXT(A20,"yyyy-mm")</f>
        <v/>
      </c>
    </row>
    <row r="21">
      <c r="F21" s="9" t="n"/>
      <c r="I21" s="6">
        <f>TEXT(A21,"yyyy-mm")</f>
        <v/>
      </c>
    </row>
    <row r="22">
      <c r="F22" s="9" t="n"/>
      <c r="I22" s="6">
        <f>TEXT(A22,"yyyy-mm")</f>
        <v/>
      </c>
    </row>
    <row r="23">
      <c r="F23" s="9" t="n"/>
      <c r="I23" s="6">
        <f>TEXT(A23,"yyyy-mm")</f>
        <v/>
      </c>
    </row>
    <row r="24">
      <c r="F24" s="9" t="n"/>
      <c r="I24" s="6">
        <f>TEXT(A24,"yyyy-mm")</f>
        <v/>
      </c>
    </row>
    <row r="25">
      <c r="F25" s="9" t="n"/>
      <c r="I25" s="6">
        <f>TEXT(A25,"yyyy-mm")</f>
        <v/>
      </c>
    </row>
    <row r="26">
      <c r="F26" s="9" t="n"/>
      <c r="I26" s="6">
        <f>TEXT(A26,"yyyy-mm")</f>
        <v/>
      </c>
    </row>
    <row r="27">
      <c r="F27" s="9" t="n"/>
      <c r="I27" s="6">
        <f>TEXT(A27,"yyyy-mm")</f>
        <v/>
      </c>
    </row>
    <row r="28">
      <c r="F28" s="9" t="n"/>
      <c r="I28" s="6">
        <f>TEXT(A28,"yyyy-mm")</f>
        <v/>
      </c>
    </row>
    <row r="29">
      <c r="F29" s="9" t="n"/>
      <c r="I29" s="6">
        <f>TEXT(A29,"yyyy-mm")</f>
        <v/>
      </c>
    </row>
    <row r="30">
      <c r="F30" s="9" t="n"/>
      <c r="I30" s="6">
        <f>TEXT(A30,"yyyy-mm")</f>
        <v/>
      </c>
    </row>
    <row r="31">
      <c r="F31" s="9" t="n"/>
      <c r="I31" s="6">
        <f>TEXT(A31,"yyyy-mm")</f>
        <v/>
      </c>
    </row>
    <row r="32">
      <c r="F32" s="9" t="n"/>
      <c r="I32" s="6">
        <f>TEXT(A32,"yyyy-mm")</f>
        <v/>
      </c>
    </row>
    <row r="33">
      <c r="F33" s="9" t="n"/>
      <c r="I33" s="6">
        <f>TEXT(A33,"yyyy-mm")</f>
        <v/>
      </c>
    </row>
    <row r="34">
      <c r="F34" s="9" t="n"/>
      <c r="I34" s="6">
        <f>TEXT(A34,"yyyy-mm")</f>
        <v/>
      </c>
    </row>
    <row r="35">
      <c r="F35" s="9" t="n"/>
      <c r="I35" s="6">
        <f>TEXT(A35,"yyyy-mm")</f>
        <v/>
      </c>
    </row>
    <row r="36">
      <c r="F36" s="9" t="n"/>
      <c r="I36" s="6">
        <f>TEXT(A36,"yyyy-mm")</f>
        <v/>
      </c>
    </row>
    <row r="37">
      <c r="F37" s="9" t="n"/>
      <c r="I37" s="6">
        <f>TEXT(A37,"yyyy-mm")</f>
        <v/>
      </c>
    </row>
    <row r="38">
      <c r="F38" s="9" t="n"/>
      <c r="I38" s="6">
        <f>TEXT(A38,"yyyy-mm")</f>
        <v/>
      </c>
    </row>
    <row r="39">
      <c r="F39" s="9" t="n"/>
      <c r="I39" s="6">
        <f>TEXT(A39,"yyyy-mm")</f>
        <v/>
      </c>
    </row>
    <row r="40">
      <c r="F40" s="9" t="n"/>
      <c r="I40" s="6">
        <f>TEXT(A40,"yyyy-mm")</f>
        <v/>
      </c>
    </row>
    <row r="41">
      <c r="F41" s="9" t="n"/>
      <c r="I41" s="6">
        <f>TEXT(A41,"yyyy-mm")</f>
        <v/>
      </c>
    </row>
    <row r="42">
      <c r="F42" s="9" t="n"/>
      <c r="I42" s="6">
        <f>TEXT(A42,"yyyy-mm")</f>
        <v/>
      </c>
    </row>
    <row r="43">
      <c r="F43" s="9" t="n"/>
      <c r="I43" s="6">
        <f>TEXT(A43,"yyyy-mm")</f>
        <v/>
      </c>
    </row>
    <row r="44">
      <c r="F44" s="9" t="n"/>
      <c r="I44" s="6">
        <f>TEXT(A44,"yyyy-mm")</f>
        <v/>
      </c>
    </row>
    <row r="45">
      <c r="F45" s="9" t="n"/>
      <c r="I45" s="6">
        <f>TEXT(A45,"yyyy-mm")</f>
        <v/>
      </c>
    </row>
    <row r="46">
      <c r="F46" s="9" t="n"/>
      <c r="I46" s="6">
        <f>TEXT(A46,"yyyy-mm")</f>
        <v/>
      </c>
    </row>
    <row r="47">
      <c r="F47" s="9" t="n"/>
      <c r="I47" s="6">
        <f>TEXT(A47,"yyyy-mm")</f>
        <v/>
      </c>
    </row>
    <row r="48">
      <c r="F48" s="9" t="n"/>
      <c r="I48" s="6">
        <f>TEXT(A48,"yyyy-mm")</f>
        <v/>
      </c>
    </row>
    <row r="49">
      <c r="F49" s="9" t="n"/>
      <c r="I49" s="6">
        <f>TEXT(A49,"yyyy-mm")</f>
        <v/>
      </c>
    </row>
    <row r="50">
      <c r="F50" s="9" t="n"/>
      <c r="I50" s="6">
        <f>TEXT(A50,"yyyy-mm")</f>
        <v/>
      </c>
    </row>
    <row r="51">
      <c r="F51" s="9" t="n"/>
      <c r="I51" s="6">
        <f>TEXT(A51,"yyyy-mm")</f>
        <v/>
      </c>
    </row>
    <row r="52">
      <c r="F52" s="9" t="n"/>
      <c r="I52" s="6">
        <f>TEXT(A52,"yyyy-mm")</f>
        <v/>
      </c>
    </row>
    <row r="53">
      <c r="F53" s="9" t="n"/>
      <c r="I53" s="6">
        <f>TEXT(A53,"yyyy-mm")</f>
        <v/>
      </c>
    </row>
    <row r="54">
      <c r="F54" s="9" t="n"/>
      <c r="I54" s="6">
        <f>TEXT(A54,"yyyy-mm")</f>
        <v/>
      </c>
    </row>
    <row r="55">
      <c r="F55" s="9" t="n"/>
      <c r="I55" s="6">
        <f>TEXT(A55,"yyyy-mm")</f>
        <v/>
      </c>
    </row>
    <row r="56">
      <c r="F56" s="9" t="n"/>
      <c r="I56" s="6">
        <f>TEXT(A56,"yyyy-mm")</f>
        <v/>
      </c>
    </row>
    <row r="57">
      <c r="F57" s="9" t="n"/>
      <c r="I57" s="6">
        <f>TEXT(A57,"yyyy-mm")</f>
        <v/>
      </c>
    </row>
    <row r="58">
      <c r="F58" s="9" t="n"/>
      <c r="I58" s="6">
        <f>TEXT(A58,"yyyy-mm")</f>
        <v/>
      </c>
    </row>
    <row r="59">
      <c r="F59" s="9" t="n"/>
      <c r="I59" s="6">
        <f>TEXT(A59,"yyyy-mm")</f>
        <v/>
      </c>
    </row>
    <row r="60">
      <c r="F60" s="9" t="n"/>
      <c r="I60" s="6">
        <f>TEXT(A60,"yyyy-mm")</f>
        <v/>
      </c>
    </row>
    <row r="61">
      <c r="F61" s="9" t="n"/>
      <c r="I61" s="6">
        <f>TEXT(A61,"yyyy-mm")</f>
        <v/>
      </c>
    </row>
    <row r="62">
      <c r="F62" s="9" t="n"/>
      <c r="I62" s="6">
        <f>TEXT(A62,"yyyy-mm")</f>
        <v/>
      </c>
    </row>
    <row r="63">
      <c r="F63" s="9" t="n"/>
      <c r="I63" s="6">
        <f>TEXT(A63,"yyyy-mm")</f>
        <v/>
      </c>
    </row>
    <row r="64">
      <c r="F64" s="9" t="n"/>
      <c r="I64" s="6">
        <f>TEXT(A64,"yyyy-mm")</f>
        <v/>
      </c>
    </row>
    <row r="65">
      <c r="F65" s="9" t="n"/>
      <c r="I65" s="6">
        <f>TEXT(A65,"yyyy-mm")</f>
        <v/>
      </c>
    </row>
    <row r="66">
      <c r="F66" s="9" t="n"/>
      <c r="I66" s="6">
        <f>TEXT(A66,"yyyy-mm")</f>
        <v/>
      </c>
    </row>
    <row r="67">
      <c r="F67" s="9" t="n"/>
      <c r="I67" s="6">
        <f>TEXT(A67,"yyyy-mm")</f>
        <v/>
      </c>
    </row>
    <row r="68">
      <c r="F68" s="9" t="n"/>
      <c r="I68" s="6">
        <f>TEXT(A68,"yyyy-mm")</f>
        <v/>
      </c>
    </row>
    <row r="69">
      <c r="F69" s="9" t="n"/>
      <c r="I69" s="6">
        <f>TEXT(A69,"yyyy-mm")</f>
        <v/>
      </c>
    </row>
    <row r="70">
      <c r="F70" s="9" t="n"/>
      <c r="I70" s="6">
        <f>TEXT(A70,"yyyy-mm")</f>
        <v/>
      </c>
    </row>
    <row r="71">
      <c r="F71" s="9" t="n"/>
      <c r="I71" s="6">
        <f>TEXT(A71,"yyyy-mm")</f>
        <v/>
      </c>
    </row>
    <row r="72">
      <c r="F72" s="9" t="n"/>
      <c r="I72" s="6">
        <f>TEXT(A72,"yyyy-mm")</f>
        <v/>
      </c>
    </row>
    <row r="73">
      <c r="F73" s="9" t="n"/>
      <c r="I73" s="6">
        <f>TEXT(A73,"yyyy-mm")</f>
        <v/>
      </c>
    </row>
    <row r="74">
      <c r="F74" s="9" t="n"/>
      <c r="I74" s="6">
        <f>TEXT(A74,"yyyy-mm")</f>
        <v/>
      </c>
    </row>
    <row r="75">
      <c r="F75" s="9" t="n"/>
      <c r="I75" s="6">
        <f>TEXT(A75,"yyyy-mm")</f>
        <v/>
      </c>
    </row>
    <row r="76">
      <c r="F76" s="9" t="n"/>
      <c r="I76" s="6">
        <f>TEXT(A76,"yyyy-mm")</f>
        <v/>
      </c>
    </row>
    <row r="77">
      <c r="F77" s="9" t="n"/>
      <c r="I77" s="6">
        <f>TEXT(A77,"yyyy-mm")</f>
        <v/>
      </c>
    </row>
    <row r="78">
      <c r="F78" s="9" t="n"/>
      <c r="I78" s="6">
        <f>TEXT(A78,"yyyy-mm")</f>
        <v/>
      </c>
    </row>
    <row r="79">
      <c r="F79" s="9" t="n"/>
      <c r="I79" s="6">
        <f>TEXT(A79,"yyyy-mm")</f>
        <v/>
      </c>
    </row>
    <row r="80">
      <c r="F80" s="9" t="n"/>
      <c r="I80" s="6">
        <f>TEXT(A80,"yyyy-mm")</f>
        <v/>
      </c>
    </row>
    <row r="81">
      <c r="F81" s="9" t="n"/>
      <c r="I81" s="6">
        <f>TEXT(A81,"yyyy-mm")</f>
        <v/>
      </c>
    </row>
    <row r="82">
      <c r="F82" s="9" t="n"/>
      <c r="I82" s="6">
        <f>TEXT(A82,"yyyy-mm")</f>
        <v/>
      </c>
    </row>
    <row r="83">
      <c r="F83" s="9" t="n"/>
      <c r="I83" s="6">
        <f>TEXT(A83,"yyyy-mm")</f>
        <v/>
      </c>
    </row>
    <row r="84">
      <c r="F84" s="9" t="n"/>
      <c r="I84" s="6">
        <f>TEXT(A84,"yyyy-mm")</f>
        <v/>
      </c>
    </row>
    <row r="85">
      <c r="F85" s="9" t="n"/>
      <c r="I85" s="6">
        <f>TEXT(A85,"yyyy-mm")</f>
        <v/>
      </c>
    </row>
    <row r="86">
      <c r="F86" s="9" t="n"/>
      <c r="I86" s="6">
        <f>TEXT(A86,"yyyy-mm")</f>
        <v/>
      </c>
    </row>
    <row r="87">
      <c r="F87" s="9" t="n"/>
      <c r="I87" s="6">
        <f>TEXT(A87,"yyyy-mm")</f>
        <v/>
      </c>
    </row>
    <row r="88">
      <c r="F88" s="9" t="n"/>
      <c r="I88" s="6">
        <f>TEXT(A88,"yyyy-mm")</f>
        <v/>
      </c>
    </row>
    <row r="89">
      <c r="F89" s="9" t="n"/>
      <c r="I89" s="6">
        <f>TEXT(A89,"yyyy-mm")</f>
        <v/>
      </c>
    </row>
    <row r="90">
      <c r="F90" s="9" t="n"/>
      <c r="I90" s="6">
        <f>TEXT(A90,"yyyy-mm")</f>
        <v/>
      </c>
    </row>
    <row r="91">
      <c r="F91" s="9" t="n"/>
      <c r="I91" s="6">
        <f>TEXT(A91,"yyyy-mm")</f>
        <v/>
      </c>
    </row>
    <row r="92">
      <c r="F92" s="9" t="n"/>
      <c r="I92" s="6">
        <f>TEXT(A92,"yyyy-mm")</f>
        <v/>
      </c>
    </row>
    <row r="93">
      <c r="F93" s="9" t="n"/>
      <c r="I93" s="6">
        <f>TEXT(A93,"yyyy-mm")</f>
        <v/>
      </c>
    </row>
    <row r="94">
      <c r="F94" s="9" t="n"/>
      <c r="I94" s="6">
        <f>TEXT(A94,"yyyy-mm")</f>
        <v/>
      </c>
    </row>
    <row r="95">
      <c r="F95" s="9" t="n"/>
      <c r="I95" s="6">
        <f>TEXT(A95,"yyyy-mm")</f>
        <v/>
      </c>
    </row>
    <row r="96">
      <c r="F96" s="9" t="n"/>
      <c r="I96" s="6">
        <f>TEXT(A96,"yyyy-mm")</f>
        <v/>
      </c>
    </row>
    <row r="97">
      <c r="F97" s="9" t="n"/>
      <c r="I97" s="6">
        <f>TEXT(A97,"yyyy-mm")</f>
        <v/>
      </c>
    </row>
    <row r="98">
      <c r="F98" s="9" t="n"/>
      <c r="I98" s="6">
        <f>TEXT(A98,"yyyy-mm")</f>
        <v/>
      </c>
    </row>
    <row r="99">
      <c r="F99" s="9" t="n"/>
      <c r="I99" s="6">
        <f>TEXT(A99,"yyyy-mm")</f>
        <v/>
      </c>
    </row>
    <row r="100">
      <c r="F100" s="9" t="n"/>
      <c r="I100" s="6">
        <f>TEXT(A100,"yyyy-mm")</f>
        <v/>
      </c>
    </row>
    <row r="101">
      <c r="F101" s="9" t="n"/>
      <c r="I101" s="6">
        <f>TEXT(A101,"yyyy-mm")</f>
        <v/>
      </c>
    </row>
    <row r="102">
      <c r="F102" s="9" t="n"/>
      <c r="I102" s="6">
        <f>TEXT(A102,"yyyy-mm")</f>
        <v/>
      </c>
    </row>
    <row r="103">
      <c r="F103" s="9" t="n"/>
      <c r="I103" s="6">
        <f>TEXT(A103,"yyyy-mm")</f>
        <v/>
      </c>
    </row>
    <row r="104">
      <c r="F104" s="9" t="n"/>
      <c r="I104" s="6">
        <f>TEXT(A104,"yyyy-mm")</f>
        <v/>
      </c>
    </row>
    <row r="105">
      <c r="F105" s="9" t="n"/>
      <c r="I105" s="6">
        <f>TEXT(A105,"yyyy-mm")</f>
        <v/>
      </c>
    </row>
    <row r="106">
      <c r="F106" s="9" t="n"/>
      <c r="I106" s="6">
        <f>TEXT(A106,"yyyy-mm")</f>
        <v/>
      </c>
    </row>
    <row r="107">
      <c r="F107" s="9" t="n"/>
      <c r="I107" s="6">
        <f>TEXT(A107,"yyyy-mm")</f>
        <v/>
      </c>
    </row>
    <row r="108">
      <c r="F108" s="9" t="n"/>
      <c r="I108" s="6">
        <f>TEXT(A108,"yyyy-mm")</f>
        <v/>
      </c>
    </row>
    <row r="109">
      <c r="F109" s="9" t="n"/>
      <c r="I109" s="6">
        <f>TEXT(A109,"yyyy-mm")</f>
        <v/>
      </c>
    </row>
    <row r="110">
      <c r="F110" s="9" t="n"/>
      <c r="I110" s="6">
        <f>TEXT(A110,"yyyy-mm")</f>
        <v/>
      </c>
    </row>
    <row r="111">
      <c r="F111" s="9" t="n"/>
      <c r="I111" s="6">
        <f>TEXT(A111,"yyyy-mm")</f>
        <v/>
      </c>
    </row>
    <row r="112">
      <c r="F112" s="9" t="n"/>
      <c r="I112" s="6">
        <f>TEXT(A112,"yyyy-mm")</f>
        <v/>
      </c>
    </row>
    <row r="113">
      <c r="F113" s="9" t="n"/>
      <c r="I113" s="6">
        <f>TEXT(A113,"yyyy-mm")</f>
        <v/>
      </c>
    </row>
    <row r="114">
      <c r="F114" s="9" t="n"/>
      <c r="I114" s="6">
        <f>TEXT(A114,"yyyy-mm")</f>
        <v/>
      </c>
    </row>
    <row r="115">
      <c r="F115" s="9" t="n"/>
      <c r="I115" s="6">
        <f>TEXT(A115,"yyyy-mm")</f>
        <v/>
      </c>
    </row>
    <row r="116">
      <c r="F116" s="9" t="n"/>
      <c r="I116" s="6">
        <f>TEXT(A116,"yyyy-mm")</f>
        <v/>
      </c>
    </row>
    <row r="117">
      <c r="F117" s="9" t="n"/>
      <c r="I117" s="6">
        <f>TEXT(A117,"yyyy-mm")</f>
        <v/>
      </c>
    </row>
    <row r="118">
      <c r="F118" s="9" t="n"/>
      <c r="I118" s="6">
        <f>TEXT(A118,"yyyy-mm")</f>
        <v/>
      </c>
    </row>
    <row r="119">
      <c r="F119" s="9" t="n"/>
      <c r="I119" s="6">
        <f>TEXT(A119,"yyyy-mm")</f>
        <v/>
      </c>
    </row>
    <row r="120">
      <c r="F120" s="9" t="n"/>
      <c r="I120" s="6">
        <f>TEXT(A120,"yyyy-mm")</f>
        <v/>
      </c>
    </row>
    <row r="121">
      <c r="F121" s="9" t="n"/>
      <c r="I121" s="6">
        <f>TEXT(A121,"yyyy-mm")</f>
        <v/>
      </c>
    </row>
    <row r="122">
      <c r="F122" s="9" t="n"/>
      <c r="I122" s="6">
        <f>TEXT(A122,"yyyy-mm")</f>
        <v/>
      </c>
    </row>
    <row r="123">
      <c r="F123" s="9" t="n"/>
      <c r="I123" s="6">
        <f>TEXT(A123,"yyyy-mm")</f>
        <v/>
      </c>
    </row>
    <row r="124">
      <c r="F124" s="9" t="n"/>
      <c r="I124" s="6">
        <f>TEXT(A124,"yyyy-mm")</f>
        <v/>
      </c>
    </row>
    <row r="125">
      <c r="F125" s="9" t="n"/>
      <c r="I125" s="6">
        <f>TEXT(A125,"yyyy-mm")</f>
        <v/>
      </c>
    </row>
    <row r="126">
      <c r="F126" s="9" t="n"/>
      <c r="I126" s="6">
        <f>TEXT(A126,"yyyy-mm")</f>
        <v/>
      </c>
    </row>
    <row r="127">
      <c r="F127" s="9" t="n"/>
      <c r="I127" s="6">
        <f>TEXT(A127,"yyyy-mm")</f>
        <v/>
      </c>
    </row>
    <row r="128">
      <c r="F128" s="9" t="n"/>
      <c r="I128" s="6">
        <f>TEXT(A128,"yyyy-mm")</f>
        <v/>
      </c>
    </row>
    <row r="129">
      <c r="F129" s="9" t="n"/>
      <c r="I129" s="6">
        <f>TEXT(A129,"yyyy-mm")</f>
        <v/>
      </c>
    </row>
    <row r="130">
      <c r="F130" s="9" t="n"/>
      <c r="I130" s="6">
        <f>TEXT(A130,"yyyy-mm")</f>
        <v/>
      </c>
    </row>
    <row r="131">
      <c r="F131" s="9" t="n"/>
      <c r="I131" s="6">
        <f>TEXT(A131,"yyyy-mm")</f>
        <v/>
      </c>
    </row>
    <row r="132">
      <c r="F132" s="9" t="n"/>
      <c r="I132" s="6">
        <f>TEXT(A132,"yyyy-mm")</f>
        <v/>
      </c>
    </row>
    <row r="133">
      <c r="F133" s="9" t="n"/>
      <c r="I133" s="6">
        <f>TEXT(A133,"yyyy-mm")</f>
        <v/>
      </c>
    </row>
    <row r="134">
      <c r="F134" s="9" t="n"/>
      <c r="I134" s="6">
        <f>TEXT(A134,"yyyy-mm")</f>
        <v/>
      </c>
    </row>
    <row r="135">
      <c r="F135" s="9" t="n"/>
      <c r="I135" s="6">
        <f>TEXT(A135,"yyyy-mm")</f>
        <v/>
      </c>
    </row>
    <row r="136">
      <c r="F136" s="9" t="n"/>
      <c r="I136" s="6">
        <f>TEXT(A136,"yyyy-mm")</f>
        <v/>
      </c>
    </row>
    <row r="137">
      <c r="F137" s="9" t="n"/>
      <c r="I137" s="6">
        <f>TEXT(A137,"yyyy-mm")</f>
        <v/>
      </c>
    </row>
    <row r="138">
      <c r="F138" s="9" t="n"/>
      <c r="I138" s="6">
        <f>TEXT(A138,"yyyy-mm")</f>
        <v/>
      </c>
    </row>
    <row r="139">
      <c r="F139" s="9" t="n"/>
      <c r="I139" s="6">
        <f>TEXT(A139,"yyyy-mm")</f>
        <v/>
      </c>
    </row>
    <row r="140">
      <c r="F140" s="9" t="n"/>
      <c r="I140" s="6">
        <f>TEXT(A140,"yyyy-mm")</f>
        <v/>
      </c>
    </row>
    <row r="141">
      <c r="F141" s="9" t="n"/>
      <c r="I141" s="6">
        <f>TEXT(A141,"yyyy-mm")</f>
        <v/>
      </c>
    </row>
    <row r="142">
      <c r="F142" s="9" t="n"/>
      <c r="I142" s="6">
        <f>TEXT(A142,"yyyy-mm")</f>
        <v/>
      </c>
    </row>
    <row r="143">
      <c r="F143" s="9" t="n"/>
      <c r="I143" s="6">
        <f>TEXT(A143,"yyyy-mm")</f>
        <v/>
      </c>
    </row>
    <row r="144">
      <c r="F144" s="9" t="n"/>
      <c r="I144" s="6">
        <f>TEXT(A144,"yyyy-mm")</f>
        <v/>
      </c>
    </row>
    <row r="145">
      <c r="F145" s="9" t="n"/>
      <c r="I145" s="6">
        <f>TEXT(A145,"yyyy-mm")</f>
        <v/>
      </c>
    </row>
    <row r="146">
      <c r="F146" s="9" t="n"/>
      <c r="I146" s="6">
        <f>TEXT(A146,"yyyy-mm")</f>
        <v/>
      </c>
    </row>
    <row r="147">
      <c r="F147" s="9" t="n"/>
      <c r="I147" s="6">
        <f>TEXT(A147,"yyyy-mm")</f>
        <v/>
      </c>
    </row>
    <row r="148">
      <c r="F148" s="9" t="n"/>
      <c r="I148" s="6">
        <f>TEXT(A148,"yyyy-mm")</f>
        <v/>
      </c>
    </row>
    <row r="149">
      <c r="F149" s="9" t="n"/>
      <c r="I149" s="6">
        <f>TEXT(A149,"yyyy-mm")</f>
        <v/>
      </c>
    </row>
    <row r="150">
      <c r="F150" s="9" t="n"/>
      <c r="I150" s="6">
        <f>TEXT(A150,"yyyy-mm")</f>
        <v/>
      </c>
    </row>
    <row r="151">
      <c r="F151" s="9" t="n"/>
      <c r="I151" s="6">
        <f>TEXT(A151,"yyyy-mm")</f>
        <v/>
      </c>
    </row>
    <row r="152">
      <c r="F152" s="9" t="n"/>
      <c r="I152" s="6">
        <f>TEXT(A152,"yyyy-mm")</f>
        <v/>
      </c>
    </row>
    <row r="153">
      <c r="F153" s="9" t="n"/>
      <c r="I153" s="6">
        <f>TEXT(A153,"yyyy-mm")</f>
        <v/>
      </c>
    </row>
    <row r="154">
      <c r="F154" s="9" t="n"/>
      <c r="I154" s="6">
        <f>TEXT(A154,"yyyy-mm")</f>
        <v/>
      </c>
    </row>
    <row r="155">
      <c r="F155" s="9" t="n"/>
      <c r="I155" s="6">
        <f>TEXT(A155,"yyyy-mm")</f>
        <v/>
      </c>
    </row>
    <row r="156">
      <c r="F156" s="9" t="n"/>
      <c r="I156" s="6">
        <f>TEXT(A156,"yyyy-mm")</f>
        <v/>
      </c>
    </row>
    <row r="157">
      <c r="F157" s="9" t="n"/>
      <c r="I157" s="6">
        <f>TEXT(A157,"yyyy-mm")</f>
        <v/>
      </c>
    </row>
    <row r="158">
      <c r="F158" s="9" t="n"/>
      <c r="I158" s="6">
        <f>TEXT(A158,"yyyy-mm")</f>
        <v/>
      </c>
    </row>
    <row r="159">
      <c r="F159" s="9" t="n"/>
      <c r="I159" s="6">
        <f>TEXT(A159,"yyyy-mm")</f>
        <v/>
      </c>
    </row>
    <row r="160">
      <c r="F160" s="9" t="n"/>
      <c r="I160" s="6">
        <f>TEXT(A160,"yyyy-mm")</f>
        <v/>
      </c>
    </row>
    <row r="161">
      <c r="F161" s="9" t="n"/>
      <c r="I161" s="6">
        <f>TEXT(A161,"yyyy-mm")</f>
        <v/>
      </c>
    </row>
    <row r="162">
      <c r="F162" s="9" t="n"/>
      <c r="I162" s="6">
        <f>TEXT(A162,"yyyy-mm")</f>
        <v/>
      </c>
    </row>
    <row r="163">
      <c r="F163" s="9" t="n"/>
      <c r="I163" s="6">
        <f>TEXT(A163,"yyyy-mm")</f>
        <v/>
      </c>
    </row>
    <row r="164">
      <c r="F164" s="9" t="n"/>
      <c r="I164" s="6">
        <f>TEXT(A164,"yyyy-mm")</f>
        <v/>
      </c>
    </row>
    <row r="165">
      <c r="F165" s="9" t="n"/>
      <c r="I165" s="6">
        <f>TEXT(A165,"yyyy-mm")</f>
        <v/>
      </c>
    </row>
    <row r="166">
      <c r="F166" s="9" t="n"/>
      <c r="I166" s="6">
        <f>TEXT(A166,"yyyy-mm")</f>
        <v/>
      </c>
    </row>
    <row r="167">
      <c r="F167" s="9" t="n"/>
      <c r="I167" s="6">
        <f>TEXT(A167,"yyyy-mm")</f>
        <v/>
      </c>
    </row>
    <row r="168">
      <c r="F168" s="9" t="n"/>
      <c r="I168" s="6">
        <f>TEXT(A168,"yyyy-mm")</f>
        <v/>
      </c>
    </row>
    <row r="169">
      <c r="F169" s="9" t="n"/>
      <c r="I169" s="6">
        <f>TEXT(A169,"yyyy-mm")</f>
        <v/>
      </c>
    </row>
    <row r="170">
      <c r="F170" s="9" t="n"/>
      <c r="I170" s="6">
        <f>TEXT(A170,"yyyy-mm")</f>
        <v/>
      </c>
    </row>
    <row r="171">
      <c r="F171" s="9" t="n"/>
      <c r="I171" s="6">
        <f>TEXT(A171,"yyyy-mm")</f>
        <v/>
      </c>
    </row>
    <row r="172">
      <c r="F172" s="9" t="n"/>
      <c r="I172" s="6">
        <f>TEXT(A172,"yyyy-mm")</f>
        <v/>
      </c>
    </row>
    <row r="173">
      <c r="F173" s="9" t="n"/>
      <c r="I173" s="6">
        <f>TEXT(A173,"yyyy-mm")</f>
        <v/>
      </c>
    </row>
    <row r="174">
      <c r="F174" s="9" t="n"/>
      <c r="I174" s="6">
        <f>TEXT(A174,"yyyy-mm")</f>
        <v/>
      </c>
    </row>
    <row r="175">
      <c r="F175" s="9" t="n"/>
      <c r="I175" s="6">
        <f>TEXT(A175,"yyyy-mm")</f>
        <v/>
      </c>
    </row>
    <row r="176">
      <c r="F176" s="9" t="n"/>
      <c r="I176" s="6">
        <f>TEXT(A176,"yyyy-mm")</f>
        <v/>
      </c>
    </row>
    <row r="177">
      <c r="F177" s="9" t="n"/>
      <c r="I177" s="6">
        <f>TEXT(A177,"yyyy-mm")</f>
        <v/>
      </c>
    </row>
    <row r="178">
      <c r="F178" s="9" t="n"/>
      <c r="I178" s="6">
        <f>TEXT(A178,"yyyy-mm")</f>
        <v/>
      </c>
    </row>
    <row r="179">
      <c r="F179" s="9" t="n"/>
      <c r="I179" s="6">
        <f>TEXT(A179,"yyyy-mm")</f>
        <v/>
      </c>
    </row>
    <row r="180">
      <c r="F180" s="9" t="n"/>
      <c r="I180" s="6">
        <f>TEXT(A180,"yyyy-mm")</f>
        <v/>
      </c>
    </row>
    <row r="181">
      <c r="F181" s="9" t="n"/>
      <c r="I181" s="6">
        <f>TEXT(A181,"yyyy-mm")</f>
        <v/>
      </c>
    </row>
    <row r="182">
      <c r="F182" s="9" t="n"/>
      <c r="I182" s="6">
        <f>TEXT(A182,"yyyy-mm")</f>
        <v/>
      </c>
    </row>
    <row r="183">
      <c r="F183" s="9" t="n"/>
      <c r="I183" s="6">
        <f>TEXT(A183,"yyyy-mm")</f>
        <v/>
      </c>
    </row>
    <row r="184">
      <c r="F184" s="9" t="n"/>
      <c r="I184" s="6">
        <f>TEXT(A184,"yyyy-mm")</f>
        <v/>
      </c>
    </row>
    <row r="185">
      <c r="F185" s="9" t="n"/>
      <c r="I185" s="6">
        <f>TEXT(A185,"yyyy-mm")</f>
        <v/>
      </c>
    </row>
    <row r="186">
      <c r="F186" s="9" t="n"/>
      <c r="I186" s="6">
        <f>TEXT(A186,"yyyy-mm")</f>
        <v/>
      </c>
    </row>
    <row r="187">
      <c r="F187" s="9" t="n"/>
      <c r="I187" s="6">
        <f>TEXT(A187,"yyyy-mm")</f>
        <v/>
      </c>
    </row>
    <row r="188">
      <c r="F188" s="9" t="n"/>
      <c r="I188" s="6">
        <f>TEXT(A188,"yyyy-mm")</f>
        <v/>
      </c>
    </row>
    <row r="189">
      <c r="F189" s="9" t="n"/>
      <c r="I189" s="6">
        <f>TEXT(A189,"yyyy-mm")</f>
        <v/>
      </c>
    </row>
    <row r="190">
      <c r="F190" s="9" t="n"/>
      <c r="I190" s="6">
        <f>TEXT(A190,"yyyy-mm")</f>
        <v/>
      </c>
    </row>
    <row r="191">
      <c r="F191" s="9" t="n"/>
      <c r="I191" s="6">
        <f>TEXT(A191,"yyyy-mm")</f>
        <v/>
      </c>
    </row>
    <row r="192">
      <c r="F192" s="9" t="n"/>
      <c r="I192" s="6">
        <f>TEXT(A192,"yyyy-mm")</f>
        <v/>
      </c>
    </row>
    <row r="193">
      <c r="F193" s="9" t="n"/>
      <c r="I193" s="6">
        <f>TEXT(A193,"yyyy-mm")</f>
        <v/>
      </c>
    </row>
    <row r="194">
      <c r="F194" s="9" t="n"/>
      <c r="I194" s="6">
        <f>TEXT(A194,"yyyy-mm")</f>
        <v/>
      </c>
    </row>
    <row r="195">
      <c r="F195" s="9" t="n"/>
      <c r="I195" s="6">
        <f>TEXT(A195,"yyyy-mm")</f>
        <v/>
      </c>
    </row>
    <row r="196">
      <c r="F196" s="9" t="n"/>
      <c r="I196" s="6">
        <f>TEXT(A196,"yyyy-mm")</f>
        <v/>
      </c>
    </row>
    <row r="197">
      <c r="F197" s="9" t="n"/>
      <c r="I197" s="6">
        <f>TEXT(A197,"yyyy-mm")</f>
        <v/>
      </c>
    </row>
    <row r="198">
      <c r="F198" s="9" t="n"/>
      <c r="I198" s="6">
        <f>TEXT(A198,"yyyy-mm")</f>
        <v/>
      </c>
    </row>
    <row r="199">
      <c r="F199" s="9" t="n"/>
      <c r="I199" s="6">
        <f>TEXT(A199,"yyyy-mm")</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showErrorMessage="1" showInputMessage="1" allowBlank="1" type="list">
      <formula1>"Income,Expense"</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showErrorMessage="1" showInputMessage="1" allowBlank="1" type="list">
      <formula1>"DoorDash,UberEats,Spark,Roadie,Other,Rental"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0" customWidth="1" min="1" max="1"/>
    <col width="45" customWidth="1" min="2" max="2"/>
    <col width="45" customWidth="1" min="3" max="3"/>
    <col width="10" customWidth="1" min="4" max="4"/>
  </cols>
  <sheetData>
    <row r="1">
      <c r="A1" s="1" t="inlineStr">
        <is>
          <t>Budget Summary</t>
        </is>
      </c>
    </row>
    <row r="2"/>
    <row r="3">
      <c r="A3" s="6" t="inlineStr">
        <is>
          <t>Month (yyyy-mm)</t>
        </is>
      </c>
      <c r="B3" s="6">
        <f>Inputs!B5</f>
        <v/>
      </c>
    </row>
    <row r="4"/>
    <row r="5">
      <c r="A5" s="4" t="inlineStr">
        <is>
          <t>Planned vs Actual — Income</t>
        </is>
      </c>
    </row>
    <row r="6">
      <c r="A6" s="5" t="inlineStr">
        <is>
          <t>Category</t>
        </is>
      </c>
      <c r="B6" s="5" t="inlineStr">
        <is>
          <t>Planned</t>
        </is>
      </c>
      <c r="C6" s="5" t="inlineStr">
        <is>
          <t>Actual</t>
        </is>
      </c>
      <c r="D6" s="5" t="inlineStr">
        <is>
          <t>Variance</t>
        </is>
      </c>
    </row>
    <row r="7">
      <c r="A7" s="6" t="inlineStr">
        <is>
          <t>DoorDash</t>
        </is>
      </c>
      <c r="B7" s="7">
        <f>INDEX(Monthly Budget!B6:B11, MATCH("DoorDash", Monthly Budget!A6:A11, 0))</f>
        <v/>
      </c>
      <c r="C7" s="7">
        <f>SUMIFS(Actuals!F:F, Actuals!I:I, $B$3, Actuals!C:C, "Income", Actuals!D:D, "DoorDash")</f>
        <v/>
      </c>
      <c r="D7" s="7">
        <f>C7-B7</f>
        <v/>
      </c>
    </row>
    <row r="8">
      <c r="A8" s="6" t="inlineStr">
        <is>
          <t>UberEats</t>
        </is>
      </c>
      <c r="B8" s="7">
        <f>INDEX(Monthly Budget!B6:B11, MATCH("UberEats", Monthly Budget!A6:A11, 0))</f>
        <v/>
      </c>
      <c r="C8" s="7">
        <f>SUMIFS(Actuals!F:F, Actuals!I:I, $B$3, Actuals!C:C, "Income", Actuals!D:D, "UberEats")</f>
        <v/>
      </c>
      <c r="D8" s="7">
        <f>C8-B8</f>
        <v/>
      </c>
    </row>
    <row r="9">
      <c r="A9" s="6" t="inlineStr">
        <is>
          <t>Spark</t>
        </is>
      </c>
      <c r="B9" s="7">
        <f>INDEX(Monthly Budget!B6:B11, MATCH("Spark", Monthly Budget!A6:A11, 0))</f>
        <v/>
      </c>
      <c r="C9" s="7">
        <f>SUMIFS(Actuals!F:F, Actuals!I:I, $B$3, Actuals!C:C, "Income", Actuals!D:D, "Spark")</f>
        <v/>
      </c>
      <c r="D9" s="7">
        <f>C9-B9</f>
        <v/>
      </c>
    </row>
    <row r="10">
      <c r="A10" s="6" t="inlineStr">
        <is>
          <t>Roadie</t>
        </is>
      </c>
      <c r="B10" s="7">
        <f>INDEX(Monthly Budget!B6:B11, MATCH("Roadie", Monthly Budget!A6:A11, 0))</f>
        <v/>
      </c>
      <c r="C10" s="7">
        <f>SUMIFS(Actuals!F:F, Actuals!I:I, $B$3, Actuals!C:C, "Income", Actuals!D:D, "Roadie")</f>
        <v/>
      </c>
      <c r="D10" s="7">
        <f>C10-B10</f>
        <v/>
      </c>
    </row>
    <row r="11">
      <c r="A11" s="6" t="inlineStr">
        <is>
          <t>Other Personal Income</t>
        </is>
      </c>
      <c r="B11" s="7">
        <f>INDEX(Monthly Budget!B6:B11, MATCH("Other Personal Income", Monthly Budget!A6:A11, 0))</f>
        <v/>
      </c>
      <c r="C11" s="7">
        <f>SUMIFS(Actuals!F:F, Actuals!I:I, $B$3, Actuals!C:C, "Income", Actuals!D:D, "Other")</f>
        <v/>
      </c>
      <c r="D11" s="7">
        <f>C11-B11</f>
        <v/>
      </c>
    </row>
    <row r="12">
      <c r="A12" s="6" t="inlineStr">
        <is>
          <t>Rental Net (after mortgage)</t>
        </is>
      </c>
      <c r="B12" s="7">
        <f>INDEX(Monthly Budget!B6:B11, MATCH("Rental Net (after mortgage)", Monthly Budget!A6:A11, 0))</f>
        <v/>
      </c>
      <c r="C12" s="7">
        <f>SUMIFS(Actuals!F:F, Actuals!I:I, $B$3, Actuals!C:C, "Income", Actuals!D:D, "Rental Net (after mortgage)")</f>
        <v/>
      </c>
      <c r="D12" s="7">
        <f>C12-B12</f>
        <v/>
      </c>
    </row>
    <row r="13">
      <c r="A13" s="4" t="inlineStr">
        <is>
          <t>Total Income</t>
        </is>
      </c>
      <c r="B13" s="7">
        <f>SUM(B7:B12)</f>
        <v/>
      </c>
      <c r="C13" s="7">
        <f>SUM(C7:C12)</f>
        <v/>
      </c>
      <c r="D13" s="7">
        <f>C13-B13</f>
        <v/>
      </c>
    </row>
    <row r="14"/>
    <row r="15">
      <c r="A15" s="4" t="inlineStr">
        <is>
          <t>Planned vs Actual — Expenses</t>
        </is>
      </c>
    </row>
    <row r="16">
      <c r="A16" s="5" t="inlineStr">
        <is>
          <t>Category</t>
        </is>
      </c>
      <c r="B16" s="5" t="inlineStr">
        <is>
          <t>Planned</t>
        </is>
      </c>
      <c r="C16" s="5" t="inlineStr">
        <is>
          <t>Actual</t>
        </is>
      </c>
      <c r="D16" s="5" t="inlineStr">
        <is>
          <t>Variance</t>
        </is>
      </c>
    </row>
    <row r="17">
      <c r="A17" s="6" t="inlineStr">
        <is>
          <t>Rent/Mortgage (Personal)</t>
        </is>
      </c>
      <c r="B17" s="7">
        <f>INDEX(Monthly Budget!B15:B33, MATCH("Rent/Mortgage (Personal)", Monthly Budget!A15:A33, 0))</f>
        <v/>
      </c>
      <c r="C17" s="7">
        <f>SUMIFS(Actuals!F:F, Actuals!I:I, $B$3, Actuals!C:C, "Expense", Actuals!E:E, "Rent/Mortgage (Personal)")</f>
        <v/>
      </c>
      <c r="D17" s="7">
        <f>C17-B17</f>
        <v/>
      </c>
    </row>
    <row r="18">
      <c r="A18" s="6" t="inlineStr">
        <is>
          <t>Utilities</t>
        </is>
      </c>
      <c r="B18" s="7">
        <f>INDEX(Monthly Budget!B15:B33, MATCH("Utilities", Monthly Budget!A15:A33, 0))</f>
        <v/>
      </c>
      <c r="C18" s="7">
        <f>SUMIFS(Actuals!F:F, Actuals!I:I, $B$3, Actuals!C:C, "Expense", Actuals!E:E, "Utilities")</f>
        <v/>
      </c>
      <c r="D18" s="7">
        <f>C18-B18</f>
        <v/>
      </c>
    </row>
    <row r="19">
      <c r="A19" s="6" t="inlineStr">
        <is>
          <t>Internet/Phone</t>
        </is>
      </c>
      <c r="B19" s="7">
        <f>INDEX(Monthly Budget!B15:B33, MATCH("Internet/Phone", Monthly Budget!A15:A33, 0))</f>
        <v/>
      </c>
      <c r="C19" s="7">
        <f>SUMIFS(Actuals!F:F, Actuals!I:I, $B$3, Actuals!C:C, "Expense", Actuals!E:E, "Internet/Phone")</f>
        <v/>
      </c>
      <c r="D19" s="7">
        <f>C19-B19</f>
        <v/>
      </c>
    </row>
    <row r="20">
      <c r="A20" s="6" t="inlineStr">
        <is>
          <t>Auto Insurance</t>
        </is>
      </c>
      <c r="B20" s="7">
        <f>INDEX(Monthly Budget!B15:B33, MATCH("Auto Insurance", Monthly Budget!A15:A33, 0))</f>
        <v/>
      </c>
      <c r="C20" s="7">
        <f>SUMIFS(Actuals!F:F, Actuals!I:I, $B$3, Actuals!C:C, "Expense", Actuals!E:E, "Auto Insurance")</f>
        <v/>
      </c>
      <c r="D20" s="7">
        <f>C20-B20</f>
        <v/>
      </c>
    </row>
    <row r="21">
      <c r="A21" s="6" t="inlineStr">
        <is>
          <t>Subscriptions</t>
        </is>
      </c>
      <c r="B21" s="7">
        <f>INDEX(Monthly Budget!B15:B33, MATCH("Subscriptions", Monthly Budget!A15:A33, 0))</f>
        <v/>
      </c>
      <c r="C21" s="7">
        <f>SUMIFS(Actuals!F:F, Actuals!I:I, $B$3, Actuals!C:C, "Expense", Actuals!E:E, "Subscriptions")</f>
        <v/>
      </c>
      <c r="D21" s="7">
        <f>C21-B21</f>
        <v/>
      </c>
    </row>
    <row r="22">
      <c r="A22" s="6" t="inlineStr">
        <is>
          <t>Groceries</t>
        </is>
      </c>
      <c r="B22" s="7">
        <f>INDEX(Monthly Budget!B15:B33, MATCH("Groceries", Monthly Budget!A15:A33, 0))</f>
        <v/>
      </c>
      <c r="C22" s="7">
        <f>SUMIFS(Actuals!F:F, Actuals!I:I, $B$3, Actuals!C:C, "Expense", Actuals!E:E, "Groceries")</f>
        <v/>
      </c>
      <c r="D22" s="7">
        <f>C22-B22</f>
        <v/>
      </c>
    </row>
    <row r="23">
      <c r="A23" s="6" t="inlineStr">
        <is>
          <t>Fuel</t>
        </is>
      </c>
      <c r="B23" s="7">
        <f>INDEX(Monthly Budget!B15:B33, MATCH("Fuel", Monthly Budget!A15:A33, 0))</f>
        <v/>
      </c>
      <c r="C23" s="7">
        <f>SUMIFS(Actuals!F:F, Actuals!I:I, $B$3, Actuals!C:C, "Expense", Actuals!E:E, "Fuel")</f>
        <v/>
      </c>
      <c r="D23" s="7">
        <f>C23-B23</f>
        <v/>
      </c>
    </row>
    <row r="24">
      <c r="A24" s="6" t="inlineStr">
        <is>
          <t>Debt Payments</t>
        </is>
      </c>
      <c r="B24" s="7">
        <f>INDEX(Monthly Budget!B15:B33, MATCH("Debt Payments", Monthly Budget!A15:A33, 0))</f>
        <v/>
      </c>
      <c r="C24" s="7">
        <f>SUMIFS(Actuals!F:F, Actuals!I:I, $B$3, Actuals!C:C, "Expense", Actuals!E:E, "Debt Payments")</f>
        <v/>
      </c>
      <c r="D24" s="7">
        <f>C24-B24</f>
        <v/>
      </c>
    </row>
    <row r="25">
      <c r="A25" s="6" t="inlineStr">
        <is>
          <t>Car Maintenance Reserve</t>
        </is>
      </c>
      <c r="B25" s="7">
        <f>INDEX(Monthly Budget!B15:B33, MATCH("Car Maintenance Reserve", Monthly Budget!A15:A33, 0))</f>
        <v/>
      </c>
      <c r="C25" s="7">
        <f>SUMIFS(Actuals!F:F, Actuals!I:I, $B$3, Actuals!C:C, "Expense", Actuals!E:E, "Car Maintenance Reserve")</f>
        <v/>
      </c>
      <c r="D25" s="7">
        <f>C25-B25</f>
        <v/>
      </c>
    </row>
    <row r="26">
      <c r="A26" s="6" t="inlineStr">
        <is>
          <t>Tolls/Parking</t>
        </is>
      </c>
      <c r="B26" s="7">
        <f>INDEX(Monthly Budget!B15:B33, MATCH("Tolls/Parking", Monthly Budget!A15:A33, 0))</f>
        <v/>
      </c>
      <c r="C26" s="7">
        <f>SUMIFS(Actuals!F:F, Actuals!I:I, $B$3, Actuals!C:C, "Expense", Actuals!E:E, "Tolls/Parking")</f>
        <v/>
      </c>
      <c r="D26" s="7">
        <f>C26-B26</f>
        <v/>
      </c>
    </row>
    <row r="27">
      <c r="A27" s="6" t="inlineStr">
        <is>
          <t>Supplies (Bags/Straps/Tape)</t>
        </is>
      </c>
      <c r="B27" s="7">
        <f>INDEX(Monthly Budget!B15:B33, MATCH("Supplies (Bags/Straps/Tape)", Monthly Budget!A15:A33, 0))</f>
        <v/>
      </c>
      <c r="C27" s="7">
        <f>SUMIFS(Actuals!F:F, Actuals!I:I, $B$3, Actuals!C:C, "Expense", Actuals!E:E, "Supplies (Bags/Straps/Tape)")</f>
        <v/>
      </c>
      <c r="D27" s="7">
        <f>C27-B27</f>
        <v/>
      </c>
    </row>
    <row r="28">
      <c r="A28" s="6" t="inlineStr">
        <is>
          <t>Apps/Tools (Pro)</t>
        </is>
      </c>
      <c r="B28" s="7">
        <f>INDEX(Monthly Budget!B15:B33, MATCH("Apps/Tools (Pro)", Monthly Budget!A15:A33, 0))</f>
        <v/>
      </c>
      <c r="C28" s="7">
        <f>SUMIFS(Actuals!F:F, Actuals!I:I, $B$3, Actuals!C:C, "Expense", Actuals!E:E, "Apps/Tools (Pro)")</f>
        <v/>
      </c>
      <c r="D28" s="7">
        <f>C28-B28</f>
        <v/>
      </c>
    </row>
    <row r="29">
      <c r="A29" s="6" t="inlineStr">
        <is>
          <t>Marketing/Promo</t>
        </is>
      </c>
      <c r="B29" s="7">
        <f>INDEX(Monthly Budget!B15:B33, MATCH("Marketing/Promo", Monthly Budget!A15:A33, 0))</f>
        <v/>
      </c>
      <c r="C29" s="7">
        <f>SUMIFS(Actuals!F:F, Actuals!I:I, $B$3, Actuals!C:C, "Expense", Actuals!E:E, "Marketing/Promo")</f>
        <v/>
      </c>
      <c r="D29" s="7">
        <f>C29-B29</f>
        <v/>
      </c>
    </row>
    <row r="30">
      <c r="A30" s="6" t="inlineStr">
        <is>
          <t>Repairs Reserve (Rental)</t>
        </is>
      </c>
      <c r="B30" s="7">
        <f>INDEX(Monthly Budget!B15:B33, MATCH("Repairs Reserve (Rental)", Monthly Budget!A15:A33, 0))</f>
        <v/>
      </c>
      <c r="C30" s="7">
        <f>SUMIFS(Actuals!F:F, Actuals!I:I, $B$3, Actuals!C:C, "Expense", Actuals!E:E, "Repairs Reserve (Rental)")</f>
        <v/>
      </c>
      <c r="D30" s="7">
        <f>C30-B30</f>
        <v/>
      </c>
    </row>
    <row r="31">
      <c r="A31" s="6" t="inlineStr">
        <is>
          <t>Landscaping/Trash (Rental)</t>
        </is>
      </c>
      <c r="B31" s="7">
        <f>INDEX(Monthly Budget!B15:B33, MATCH("Landscaping/Trash (Rental)", Monthly Budget!A15:A33, 0))</f>
        <v/>
      </c>
      <c r="C31" s="7">
        <f>SUMIFS(Actuals!F:F, Actuals!I:I, $B$3, Actuals!C:C, "Expense", Actuals!E:E, "Landscaping/Trash (Rental)")</f>
        <v/>
      </c>
      <c r="D31" s="7">
        <f>C31-B31</f>
        <v/>
      </c>
    </row>
    <row r="32">
      <c r="A32" s="6" t="inlineStr">
        <is>
          <t>Vacancy Reserve (Rental)</t>
        </is>
      </c>
      <c r="B32" s="7">
        <f>INDEX(Monthly Budget!B15:B33, MATCH("Vacancy Reserve (Rental)", Monthly Budget!A15:A33, 0))</f>
        <v/>
      </c>
      <c r="C32" s="7">
        <f>SUMIFS(Actuals!F:F, Actuals!I:I, $B$3, Actuals!C:C, "Expense", Actuals!E:E, "Vacancy Reserve (Rental)")</f>
        <v/>
      </c>
      <c r="D32" s="7">
        <f>C32-B32</f>
        <v/>
      </c>
    </row>
    <row r="33">
      <c r="A33" s="6" t="inlineStr">
        <is>
          <t>Emergency Fund</t>
        </is>
      </c>
      <c r="B33" s="7">
        <f>INDEX(Monthly Budget!B15:B33, MATCH("Emergency Fund", Monthly Budget!A15:A33, 0))</f>
        <v/>
      </c>
      <c r="C33" s="7">
        <f>SUMIFS(Actuals!F:F, Actuals!I:I, $B$3, Actuals!C:C, "Expense", Actuals!E:E, "Emergency Fund")</f>
        <v/>
      </c>
      <c r="D33" s="7">
        <f>C33-B33</f>
        <v/>
      </c>
    </row>
    <row r="34">
      <c r="A34" s="6" t="inlineStr">
        <is>
          <t>Vehicle Replacement Fund</t>
        </is>
      </c>
      <c r="B34" s="7">
        <f>INDEX(Monthly Budget!B15:B33, MATCH("Vehicle Replacement Fund", Monthly Budget!A15:A33, 0))</f>
        <v/>
      </c>
      <c r="C34" s="7">
        <f>SUMIFS(Actuals!F:F, Actuals!I:I, $B$3, Actuals!C:C, "Expense", Actuals!E:E, "Vehicle Replacement Fund")</f>
        <v/>
      </c>
      <c r="D34" s="7">
        <f>C34-B34</f>
        <v/>
      </c>
    </row>
    <row r="35">
      <c r="A35" s="6" t="inlineStr">
        <is>
          <t>Investments</t>
        </is>
      </c>
      <c r="B35" s="7">
        <f>INDEX(Monthly Budget!B15:B33, MATCH("Investments", Monthly Budget!A15:A33, 0))</f>
        <v/>
      </c>
      <c r="C35" s="7">
        <f>SUMIFS(Actuals!F:F, Actuals!I:I, $B$3, Actuals!C:C, "Expense", Actuals!E:E, "Investments")</f>
        <v/>
      </c>
      <c r="D35" s="7">
        <f>C35-B35</f>
        <v/>
      </c>
    </row>
    <row r="36">
      <c r="A36" s="4" t="inlineStr">
        <is>
          <t>Total Expenses</t>
        </is>
      </c>
      <c r="B36" s="7">
        <f>SUM(B17:B35)</f>
        <v/>
      </c>
      <c r="C36" s="7">
        <f>SUM(C17:C35)</f>
        <v/>
      </c>
      <c r="D36" s="7">
        <f>C36-B36</f>
        <v/>
      </c>
    </row>
    <row r="37"/>
    <row r="38">
      <c r="A38" s="4" t="inlineStr">
        <is>
          <t>Net (Income - Expenses)</t>
        </is>
      </c>
      <c r="B38" s="7">
        <f>B13-B35</f>
        <v/>
      </c>
      <c r="C38" s="7">
        <f>C13-C35</f>
        <v/>
      </c>
      <c r="D38" s="7">
        <f>C38-B38</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2025-10-15T05:49:07Z</dcterms:created>
  <dcterms:modified xmlns:dcterms="http://purl.org/dc/terms/" xmlns:xsi="http://www.w3.org/2001/XMLSchema-instance" xsi:type="dcterms:W3CDTF">2025-10-15T05:49:07Z</dcterms:modified>
</cp:coreProperties>
</file>